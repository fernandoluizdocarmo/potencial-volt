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 codeName="ThisWorkbook"/>
  <xr:revisionPtr revIDLastSave="0" documentId="13_ncr:1_{AF30F006-F38E-4C72-ACC9-05E9CD85B67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se de calculo para orçamento" sheetId="2" r:id="rId1"/>
    <sheet name="Orcamento para envio" sheetId="5" r:id="rId2"/>
    <sheet name="lista de materiais" sheetId="6" r:id="rId3"/>
  </sheets>
  <definedNames>
    <definedName name="Excedente" localSheetId="1">'Orcamento para envio'!#REF!</definedName>
    <definedName name="Excedente">'Base de calculo para orçamento'!#REF!</definedName>
    <definedName name="Título1">#REF!</definedName>
    <definedName name="_xlnm.Print_Titles" localSheetId="0">'Base de calculo para orçamento'!$3:$4</definedName>
    <definedName name="_xlnm.Print_Titles" localSheetId="1">'Orcamento para envio'!$11:$11</definedName>
  </definedNames>
  <calcPr calcId="181029"/>
  <fileRecoveryPr autoRecover="0"/>
</workbook>
</file>

<file path=xl/calcChain.xml><?xml version="1.0" encoding="utf-8"?>
<calcChain xmlns="http://schemas.openxmlformats.org/spreadsheetml/2006/main">
  <c r="E39" i="2" l="1"/>
  <c r="E20" i="2"/>
  <c r="E19" i="2" l="1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6" i="2"/>
  <c r="E7" i="2"/>
  <c r="E8" i="2"/>
  <c r="E9" i="2"/>
  <c r="E10" i="2"/>
  <c r="E11" i="2"/>
  <c r="E5" i="2"/>
  <c r="E12" i="2"/>
  <c r="E13" i="2"/>
  <c r="E14" i="2"/>
  <c r="E15" i="2"/>
  <c r="E16" i="2"/>
  <c r="E17" i="2"/>
  <c r="E18" i="2"/>
  <c r="E38" i="2"/>
  <c r="E42" i="2" l="1"/>
  <c r="D14" i="5" s="1"/>
  <c r="E45" i="2"/>
  <c r="E46" i="2" s="1"/>
</calcChain>
</file>

<file path=xl/sharedStrings.xml><?xml version="1.0" encoding="utf-8"?>
<sst xmlns="http://schemas.openxmlformats.org/spreadsheetml/2006/main" count="47" uniqueCount="42">
  <si>
    <t>Custos inesperados (mais 30% estimado)</t>
  </si>
  <si>
    <t>Itens</t>
  </si>
  <si>
    <t>Chuveiro padrão</t>
  </si>
  <si>
    <t>Quantidade</t>
  </si>
  <si>
    <t>Valor real</t>
  </si>
  <si>
    <t>Instalação completa resedencial (residencia de ate 70m²)</t>
  </si>
  <si>
    <t>Instalação completa resedencial (residencia de 70m² a 150m²)</t>
  </si>
  <si>
    <t>Instalação completa resedencial (residencia acima de 150m²)</t>
  </si>
  <si>
    <t>Troca de Disjuntores monofásico/ bifásico</t>
  </si>
  <si>
    <t>Troca de Disjuntores trifásico</t>
  </si>
  <si>
    <t>Troca de Cabeamento (metro)</t>
  </si>
  <si>
    <t>Instalaçao iluminação de jardim (unidade)</t>
  </si>
  <si>
    <t>Instalaçao luminaria de emergencia simples (unidade)</t>
  </si>
  <si>
    <t>Instalaçao sensor de presença (unidade)</t>
  </si>
  <si>
    <t>Valor Unitario</t>
  </si>
  <si>
    <t>Serviços</t>
  </si>
  <si>
    <t>Instalação ou troca interruptor(unidade)</t>
  </si>
  <si>
    <t>Custo total</t>
  </si>
  <si>
    <t>Instalação ou troca toreneira elétrica(unidade)</t>
  </si>
  <si>
    <t>Novo ponto de tomada (sem quebrar parede)</t>
  </si>
  <si>
    <t>Refletor de Jardim</t>
  </si>
  <si>
    <t>Troca de resistencia de Chuveiro</t>
  </si>
  <si>
    <t>Troca de lampadas</t>
  </si>
  <si>
    <t xml:space="preserve">Em caso de pedir desconto </t>
  </si>
  <si>
    <t>Refazer montagem do quadro elétrico</t>
  </si>
  <si>
    <t>Lista de materiais</t>
  </si>
  <si>
    <t>Quantidades</t>
  </si>
  <si>
    <t>Instalação(unidade)</t>
  </si>
  <si>
    <t>Troca de tomada</t>
  </si>
  <si>
    <t>Disjuntor monopolar 20A</t>
  </si>
  <si>
    <t>Barramento monofasico 63A 6 polos tipo Din</t>
  </si>
  <si>
    <t>10 metros</t>
  </si>
  <si>
    <t>Conector generico frontal longo terminal pente p/cabo 10mm</t>
  </si>
  <si>
    <t>Conector Sindal de 3 polos de porcelana para cabo de 10mm</t>
  </si>
  <si>
    <t>Fita isolante scotch 33+ 19mm x 20m</t>
  </si>
  <si>
    <t>Troca do cabeamento do chuveiro</t>
  </si>
  <si>
    <t>Custos inesperados (mais 10% estimado)</t>
  </si>
  <si>
    <t xml:space="preserve"> Cabo preto flexivel  6mm</t>
  </si>
  <si>
    <t xml:space="preserve"> Cabo Verde flexivel  6mm</t>
  </si>
  <si>
    <t xml:space="preserve"> Cabo Azul flexivel   6mm</t>
  </si>
  <si>
    <t>Disjuntor monopolar 40A</t>
  </si>
  <si>
    <t>Obs.: Todos os materiais serão fornecidos pelo contratante, orçamento é referente somente ao valor do serviço.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</si>
</sst>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164" formatCode="_(* #,##0_);_(* \(#,##0\);_(* &quot;-&quot;_);_(@_)"/>
    <numFmt numFmtId="165" formatCode="&quot;R$&quot;\ #,##0.00;[Red]&quot;R$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3"/>
      <name val="Cambria"/>
      <family val="2"/>
      <scheme val="major"/>
    </font>
    <font>
      <b/>
      <sz val="11"/>
      <name val="Calibri"/>
      <family val="2"/>
      <scheme val="minor"/>
    </font>
    <font>
      <sz val="24"/>
      <color theme="3"/>
      <name val="Cambria"/>
      <family val="2"/>
      <scheme val="major"/>
    </font>
    <font>
      <sz val="11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theme="6" tint="0.79998168889431442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 style="thin">
        <color theme="6" tint="0.39994506668294322"/>
      </left>
      <right/>
      <top style="thin">
        <color theme="6" tint="0.39994506668294322"/>
      </top>
      <bottom style="thin">
        <color theme="6" tint="0.39994506668294322"/>
      </bottom>
      <diagonal/>
    </border>
    <border>
      <left/>
      <right/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/>
      <top/>
      <bottom/>
      <diagonal/>
    </border>
    <border>
      <left style="thin">
        <color theme="6" tint="0.39991454817346722"/>
      </left>
      <right/>
      <top/>
      <bottom style="thin">
        <color theme="6" tint="0.39994506668294322"/>
      </bottom>
      <diagonal/>
    </border>
    <border>
      <left style="thin">
        <color theme="6"/>
      </left>
      <right style="thin">
        <color theme="6" tint="0.39991454817346722"/>
      </right>
      <top/>
      <bottom/>
      <diagonal/>
    </border>
    <border>
      <left/>
      <right/>
      <top/>
      <bottom style="thin">
        <color theme="6" tint="0.3999450666829432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6"/>
      </left>
      <right style="thin">
        <color theme="6" tint="0.39994506668294322"/>
      </right>
      <top/>
      <bottom/>
      <diagonal/>
    </border>
    <border>
      <left/>
      <right style="thin">
        <color theme="6" tint="0.39994506668294322"/>
      </right>
      <top/>
      <bottom/>
      <diagonal/>
    </border>
    <border>
      <left/>
      <right style="thin">
        <color theme="6" tint="0.399914548173467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>
      <alignment wrapText="1"/>
    </xf>
    <xf numFmtId="0" fontId="2" fillId="2" borderId="8">
      <alignment horizontal="center"/>
    </xf>
    <xf numFmtId="1" fontId="1" fillId="0" borderId="10" applyFont="0" applyFill="0">
      <alignment horizontal="right"/>
    </xf>
    <xf numFmtId="164" fontId="1" fillId="0" borderId="0" applyFont="0" applyFill="0" applyBorder="0" applyAlignment="0" applyProtection="0"/>
    <xf numFmtId="8" fontId="1" fillId="0" borderId="0" applyFont="0" applyFill="0" applyBorder="0">
      <alignment horizontal="right"/>
    </xf>
    <xf numFmtId="8" fontId="1" fillId="0" borderId="11" applyFont="0" applyFill="0">
      <alignment horizontal="right"/>
    </xf>
    <xf numFmtId="9" fontId="1" fillId="0" borderId="0" applyFont="0" applyFill="0" applyBorder="0" applyAlignment="0" applyProtection="0"/>
    <xf numFmtId="0" fontId="4" fillId="0" borderId="1"/>
    <xf numFmtId="0" fontId="2" fillId="3" borderId="9">
      <alignment horizontal="center"/>
    </xf>
    <xf numFmtId="0" fontId="3" fillId="4" borderId="0" applyNumberFormat="0" applyFont="0" applyBorder="0">
      <alignment horizontal="center"/>
    </xf>
    <xf numFmtId="0" fontId="5" fillId="0" borderId="0" applyNumberFormat="0" applyFont="0" applyFill="0" applyBorder="0" applyProtection="0">
      <alignment horizontal="center"/>
    </xf>
    <xf numFmtId="8" fontId="2" fillId="0" borderId="3">
      <alignment horizontal="left" indent="5"/>
    </xf>
    <xf numFmtId="0" fontId="2" fillId="0" borderId="2">
      <alignment horizontal="left" wrapText="1"/>
    </xf>
    <xf numFmtId="8" fontId="2" fillId="0" borderId="12" applyFont="0" applyFill="0" applyAlignment="0">
      <alignment horizontal="left" wrapText="1" indent="14"/>
    </xf>
    <xf numFmtId="0" fontId="8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13" applyNumberFormat="0" applyAlignment="0" applyProtection="0"/>
    <xf numFmtId="0" fontId="14" fillId="10" borderId="14" applyNumberFormat="0" applyAlignment="0" applyProtection="0"/>
    <xf numFmtId="0" fontId="15" fillId="10" borderId="13" applyNumberFormat="0" applyAlignment="0" applyProtection="0"/>
    <xf numFmtId="0" fontId="16" fillId="0" borderId="15" applyNumberFormat="0" applyFill="0" applyAlignment="0" applyProtection="0"/>
    <xf numFmtId="0" fontId="3" fillId="11" borderId="16" applyNumberFormat="0" applyAlignment="0" applyProtection="0"/>
    <xf numFmtId="0" fontId="17" fillId="0" borderId="0" applyNumberFormat="0" applyFill="0" applyBorder="0" applyAlignment="0" applyProtection="0"/>
    <xf numFmtId="0" fontId="1" fillId="12" borderId="17" applyNumberFormat="0" applyFont="0" applyAlignment="0" applyProtection="0"/>
    <xf numFmtId="0" fontId="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41">
    <xf numFmtId="0" fontId="0" fillId="0" borderId="0" xfId="0">
      <alignment wrapText="1"/>
    </xf>
    <xf numFmtId="0" fontId="6" fillId="0" borderId="1" xfId="7" applyFont="1"/>
    <xf numFmtId="0" fontId="7" fillId="0" borderId="0" xfId="0" applyFont="1">
      <alignment wrapText="1"/>
    </xf>
    <xf numFmtId="1" fontId="7" fillId="0" borderId="10" xfId="2" applyFont="1">
      <alignment horizontal="right"/>
    </xf>
    <xf numFmtId="0" fontId="9" fillId="5" borderId="0" xfId="0" applyFont="1" applyFill="1">
      <alignment wrapText="1"/>
    </xf>
    <xf numFmtId="0" fontId="9" fillId="5" borderId="6" xfId="10" applyFont="1" applyFill="1" applyBorder="1">
      <alignment horizontal="center"/>
    </xf>
    <xf numFmtId="0" fontId="9" fillId="5" borderId="4" xfId="10" applyNumberFormat="1" applyFont="1" applyFill="1" applyBorder="1">
      <alignment horizontal="center"/>
    </xf>
    <xf numFmtId="0" fontId="9" fillId="5" borderId="0" xfId="10" applyNumberFormat="1" applyFont="1" applyFill="1" applyBorder="1">
      <alignment horizontal="center"/>
    </xf>
    <xf numFmtId="0" fontId="7" fillId="0" borderId="0" xfId="0" applyFont="1" applyAlignment="1">
      <alignment horizontal="right"/>
    </xf>
    <xf numFmtId="8" fontId="7" fillId="0" borderId="0" xfId="4" applyFont="1">
      <alignment horizontal="right"/>
    </xf>
    <xf numFmtId="165" fontId="7" fillId="0" borderId="7" xfId="0" applyNumberFormat="1" applyFont="1" applyBorder="1" applyAlignment="1"/>
    <xf numFmtId="165" fontId="7" fillId="0" borderId="0" xfId="0" applyNumberFormat="1" applyFont="1" applyAlignment="1"/>
    <xf numFmtId="0" fontId="4" fillId="0" borderId="1" xfId="7"/>
    <xf numFmtId="0" fontId="0" fillId="0" borderId="10" xfId="0" applyBorder="1" applyAlignment="1">
      <alignment horizontal="right"/>
    </xf>
    <xf numFmtId="8" fontId="0" fillId="0" borderId="5" xfId="0" applyNumberFormat="1" applyBorder="1" applyAlignment="1"/>
    <xf numFmtId="8" fontId="0" fillId="0" borderId="7" xfId="0" applyNumberFormat="1" applyBorder="1" applyAlignment="1"/>
    <xf numFmtId="1" fontId="7" fillId="0" borderId="10" xfId="2" applyFont="1" applyFill="1">
      <alignment horizontal="right"/>
    </xf>
    <xf numFmtId="1" fontId="0" fillId="0" borderId="10" xfId="2" applyFont="1" applyFill="1">
      <alignment horizontal="right"/>
    </xf>
    <xf numFmtId="0" fontId="0" fillId="37" borderId="18" xfId="0" applyFill="1" applyBorder="1">
      <alignment wrapText="1"/>
    </xf>
    <xf numFmtId="1" fontId="0" fillId="37" borderId="19" xfId="2" applyFont="1" applyFill="1" applyBorder="1">
      <alignment horizontal="right"/>
    </xf>
    <xf numFmtId="8" fontId="0" fillId="37" borderId="18" xfId="4" applyFont="1" applyFill="1" applyBorder="1">
      <alignment horizontal="right"/>
    </xf>
    <xf numFmtId="0" fontId="0" fillId="37" borderId="20" xfId="0" applyFill="1" applyBorder="1">
      <alignment wrapText="1"/>
    </xf>
    <xf numFmtId="1" fontId="0" fillId="37" borderId="20" xfId="2" applyFont="1" applyFill="1" applyBorder="1">
      <alignment horizontal="right"/>
    </xf>
    <xf numFmtId="8" fontId="0" fillId="37" borderId="20" xfId="4" applyFont="1" applyFill="1" applyBorder="1">
      <alignment horizontal="right"/>
    </xf>
    <xf numFmtId="8" fontId="7" fillId="0" borderId="0" xfId="0" applyNumberFormat="1" applyFont="1">
      <alignment wrapText="1"/>
    </xf>
    <xf numFmtId="0" fontId="19" fillId="0" borderId="20" xfId="0" applyFont="1" applyBorder="1" applyAlignment="1">
      <alignment horizontal="center" wrapText="1"/>
    </xf>
    <xf numFmtId="8" fontId="19" fillId="0" borderId="20" xfId="4" applyFont="1" applyFill="1" applyBorder="1" applyAlignment="1">
      <alignment horizontal="center"/>
    </xf>
    <xf numFmtId="0" fontId="0" fillId="41" borderId="0" xfId="0" applyFill="1">
      <alignment wrapText="1"/>
    </xf>
    <xf numFmtId="0" fontId="19" fillId="41" borderId="20" xfId="0" applyFont="1" applyFill="1" applyBorder="1" applyAlignment="1">
      <alignment horizontal="center" wrapText="1"/>
    </xf>
    <xf numFmtId="0" fontId="21" fillId="40" borderId="20" xfId="0" applyFont="1" applyFill="1" applyBorder="1" applyAlignment="1">
      <alignment horizontal="center"/>
    </xf>
    <xf numFmtId="0" fontId="19" fillId="41" borderId="20" xfId="4" applyNumberFormat="1" applyFont="1" applyFill="1" applyBorder="1" applyAlignment="1">
      <alignment horizontal="center"/>
    </xf>
    <xf numFmtId="0" fontId="0" fillId="38" borderId="20" xfId="0" applyFill="1" applyBorder="1" applyAlignment="1">
      <alignment horizontal="center" wrapText="1"/>
    </xf>
    <xf numFmtId="0" fontId="8" fillId="0" borderId="0" xfId="14" applyAlignment="1">
      <alignment wrapText="1"/>
    </xf>
    <xf numFmtId="0" fontId="20" fillId="40" borderId="21" xfId="0" applyFont="1" applyFill="1" applyBorder="1" applyAlignment="1">
      <alignment horizontal="center" wrapText="1"/>
    </xf>
    <xf numFmtId="0" fontId="20" fillId="40" borderId="22" xfId="0" applyFont="1" applyFill="1" applyBorder="1" applyAlignment="1">
      <alignment horizontal="center" wrapText="1"/>
    </xf>
    <xf numFmtId="0" fontId="2" fillId="37" borderId="21" xfId="0" applyFont="1" applyFill="1" applyBorder="1" applyAlignment="1">
      <alignment horizontal="left" wrapText="1"/>
    </xf>
    <xf numFmtId="0" fontId="2" fillId="37" borderId="22" xfId="0" applyFont="1" applyFill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18" fillId="39" borderId="21" xfId="0" applyFont="1" applyFill="1" applyBorder="1" applyAlignment="1">
      <alignment horizontal="left" wrapText="1"/>
    </xf>
    <xf numFmtId="0" fontId="18" fillId="39" borderId="22" xfId="0" applyFont="1" applyFill="1" applyBorder="1" applyAlignment="1">
      <alignment horizontal="left" wrapText="1"/>
    </xf>
  </cellXfs>
  <cellStyles count="49">
    <cellStyle name="20% - Ênfase1" xfId="26" builtinId="30" customBuiltin="1"/>
    <cellStyle name="20% - Ênfase2" xfId="30" builtinId="34" customBuiltin="1"/>
    <cellStyle name="20% - Ênfase3" xfId="34" builtinId="38" customBuiltin="1"/>
    <cellStyle name="20% - Ênfase4" xfId="38" builtinId="42" customBuiltin="1"/>
    <cellStyle name="20% - Ênfase5" xfId="42" builtinId="46" customBuiltin="1"/>
    <cellStyle name="20% - Ênfase6" xfId="46" builtinId="50" customBuiltin="1"/>
    <cellStyle name="40% - Ênfase1" xfId="27" builtinId="31" customBuiltin="1"/>
    <cellStyle name="40% - Ênfase2" xfId="31" builtinId="35" customBuiltin="1"/>
    <cellStyle name="40% - Ênfase3" xfId="35" builtinId="39" customBuiltin="1"/>
    <cellStyle name="40% - Ênfase4" xfId="39" builtinId="43" customBuiltin="1"/>
    <cellStyle name="40% - Ênfase5" xfId="43" builtinId="47" customBuiltin="1"/>
    <cellStyle name="40% - Ênfase6" xfId="47" builtinId="51" customBuiltin="1"/>
    <cellStyle name="60% - Ênfase1" xfId="28" builtinId="32" customBuiltin="1"/>
    <cellStyle name="60% - Ênfase2" xfId="32" builtinId="36" customBuiltin="1"/>
    <cellStyle name="60% - Ênfase3" xfId="36" builtinId="40" customBuiltin="1"/>
    <cellStyle name="60% - Ênfase4" xfId="40" builtinId="44" customBuiltin="1"/>
    <cellStyle name="60% - Ênfase5" xfId="44" builtinId="48" customBuiltin="1"/>
    <cellStyle name="60% - Ênfase6" xfId="48" builtinId="52" customBuiltin="1"/>
    <cellStyle name="Bom" xfId="15" builtinId="26" customBuiltin="1"/>
    <cellStyle name="Borda direita total" xfId="13" xr:uid="{00000000-0005-0000-0000-000013000000}"/>
    <cellStyle name="Borda esquerda total" xfId="12" xr:uid="{00000000-0005-0000-0000-000014000000}"/>
    <cellStyle name="Cálculo" xfId="20" builtinId="22" customBuiltin="1"/>
    <cellStyle name="Célula de Verificação" xfId="22" builtinId="23" customBuiltin="1"/>
    <cellStyle name="Célula Vinculada" xfId="21" builtinId="24" customBuiltin="1"/>
    <cellStyle name="Ênfase1" xfId="25" builtinId="29" customBuiltin="1"/>
    <cellStyle name="Ênfase2" xfId="29" builtinId="33" customBuiltin="1"/>
    <cellStyle name="Ênfase3" xfId="33" builtinId="37" customBuiltin="1"/>
    <cellStyle name="Ênfase4" xfId="37" builtinId="41" customBuiltin="1"/>
    <cellStyle name="Ênfase5" xfId="41" builtinId="45" customBuiltin="1"/>
    <cellStyle name="Ênfase6" xfId="45" builtinId="49" customBuiltin="1"/>
    <cellStyle name="Entrada" xfId="18" builtinId="20" customBuiltin="1"/>
    <cellStyle name="Moeda" xfId="4" builtinId="4" customBuiltin="1"/>
    <cellStyle name="Moeda [0]" xfId="5" builtinId="7" customBuiltin="1"/>
    <cellStyle name="Neutro" xfId="17" builtinId="28" customBuiltin="1"/>
    <cellStyle name="Normal" xfId="0" builtinId="0" customBuiltin="1"/>
    <cellStyle name="Nota" xfId="24" builtinId="10" customBuiltin="1"/>
    <cellStyle name="Porcentagem" xfId="6" builtinId="5" customBuiltin="1"/>
    <cellStyle name="Ruim" xfId="16" builtinId="27" customBuiltin="1"/>
    <cellStyle name="Saída" xfId="19" builtinId="21" customBuiltin="1"/>
    <cellStyle name="Separador de milhares [0]" xfId="3" builtinId="6" customBuiltin="1"/>
    <cellStyle name="Texto de Aviso" xfId="23" builtinId="11" customBuiltin="1"/>
    <cellStyle name="Texto Explicativo" xfId="14" builtinId="53" customBuiltin="1"/>
    <cellStyle name="Título" xfId="7" builtinId="15" customBuiltin="1"/>
    <cellStyle name="Título 1" xfId="1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11" builtinId="25" customBuiltin="1"/>
    <cellStyle name="Vírgula" xfId="2" builtinId="3" customBuiltin="1"/>
  </cellStyles>
  <dxfs count="10">
    <dxf>
      <numFmt numFmtId="12" formatCode="&quot;R$&quot;\ #,##0.00;[Red]\-&quot;R$&quot;\ #,##0.00"/>
      <alignment horizontal="general" vertical="bottom" textRotation="0" wrapText="0" indent="0" justifyLastLine="0" shrinkToFit="0" readingOrder="0"/>
      <border diagonalUp="0" diagonalDown="0" outline="0">
        <left/>
        <right/>
        <top/>
        <bottom style="thin">
          <color theme="6" tint="0.39994506668294322"/>
        </bottom>
      </border>
    </dxf>
    <dxf>
      <numFmt numFmtId="12" formatCode="&quot;R$&quot;\ #,##0.00;[Red]\-&quot;R$&quot;\ #,##0.00"/>
    </dxf>
    <dxf>
      <numFmt numFmtId="12" formatCode="&quot;R$&quot;\ #,##0.00;[Red]\-&quot;R$&quot;\ #,##0.00"/>
      <alignment horizontal="general" vertical="bottom" textRotation="0" wrapText="0" indent="0" justifyLastLine="0" shrinkToFit="0" readingOrder="0"/>
      <border diagonalUp="0" diagonalDown="0" outline="0">
        <left style="thin">
          <color theme="6" tint="0.39991454817346722"/>
        </left>
        <right/>
        <top/>
        <bottom style="thin">
          <color theme="6" tint="0.39994506668294322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left style="thin">
          <color theme="6" tint="0.39994506668294322"/>
        </left>
        <right style="thin">
          <color theme="6" tint="0.39994506668294322"/>
        </right>
        <top style="thin">
          <color theme="6" tint="0.39994506668294322"/>
        </top>
        <bottom style="thin">
          <color theme="6" tint="0.39994506668294322"/>
        </bottom>
        <vertical style="thin">
          <color theme="6" tint="0.39994506668294322"/>
        </vertical>
        <horizontal style="thin">
          <color theme="6" tint="0.39994506668294322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fill>
        <patternFill>
          <bgColor theme="0" tint="-4.9989318521683403E-2"/>
        </patternFill>
      </fill>
      <border>
        <top style="double">
          <color theme="6"/>
        </top>
      </border>
    </dxf>
  </dxfs>
  <tableStyles count="1" defaultPivotStyle="PivotStyleLight16">
    <tableStyle name="Calculadora de custos para reforma do banheiro" pivot="0" count="5" xr9:uid="{00000000-0011-0000-FFFF-FFFF00000000}"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9525</xdr:colOff>
      <xdr:row>10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1" t="32120" r="3119" b="45568"/>
        <a:stretch/>
      </xdr:blipFill>
      <xdr:spPr>
        <a:xfrm>
          <a:off x="676275" y="381000"/>
          <a:ext cx="4533900" cy="1914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47625</xdr:rowOff>
    </xdr:from>
    <xdr:to>
      <xdr:col>3</xdr:col>
      <xdr:colOff>9524</xdr:colOff>
      <xdr:row>15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C2DB22-54CC-4FF0-939A-869664A936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1" t="32120" r="3119" b="45568"/>
        <a:stretch/>
      </xdr:blipFill>
      <xdr:spPr>
        <a:xfrm>
          <a:off x="619124" y="238125"/>
          <a:ext cx="4752975" cy="2619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s" displayName="Custos" ref="B4:E39" totalsRowCount="1" headerRowDxfId="4" dataCellStyle="Normal">
  <autoFilter ref="B4:E38" xr:uid="{00000000-0009-0000-0100-000001000000}"/>
  <tableColumns count="4">
    <tableColumn id="2" xr3:uid="{00000000-0010-0000-0000-000002000000}" name="Itens" dataCellStyle="Normal"/>
    <tableColumn id="3" xr3:uid="{00000000-0010-0000-0000-000003000000}" name="Quantidade" totalsRowDxfId="3" dataCellStyle="Vírgula"/>
    <tableColumn id="4" xr3:uid="{00000000-0010-0000-0000-000004000000}" name="Valor Unitario" totalsRowDxfId="2" dataCellStyle="Moeda"/>
    <tableColumn id="5" xr3:uid="{00000000-0010-0000-0000-000005000000}" name="Valor real" totalsRowFunction="custom" dataDxfId="1" totalsRowDxfId="0" dataCellStyle="Moeda">
      <calculatedColumnFormula>Custos[[#This Row],[Quantidade]]*Custos[[#This Row],[Valor Unitario]]</calculatedColumnFormula>
      <totalsRowFormula>SUM(Custos[Valor real])</totalsRowFormula>
    </tableColumn>
  </tableColumns>
  <tableStyleInfo name="Calculadora de custos para reforma do banheiro" showFirstColumn="0" showLastColumn="0" showRowStripes="1" showColumnStripes="0"/>
  <extLst>
    <ext xmlns:x14="http://schemas.microsoft.com/office/spreadsheetml/2009/9/main" uri="{504A1905-F514-4f6f-8877-14C23A59335A}">
      <x14:table altTextSummary="Área, Itens, Quantidade, Custos Estimados e Reais estão nesta tabela. Os custos totais estimados e reais e a diferença de custo são calculados automaticamente"/>
    </ext>
  </extLst>
</table>
</file>

<file path=xl/theme/theme1.xml><?xml version="1.0" encoding="utf-8"?>
<a:theme xmlns:a="http://schemas.openxmlformats.org/drawingml/2006/main" name="Office Theme">
  <a:themeElements>
    <a:clrScheme name="Bathroom remodel cost calculator">
      <a:dk1>
        <a:srgbClr val="000000"/>
      </a:dk1>
      <a:lt1>
        <a:srgbClr val="FFFFFF"/>
      </a:lt1>
      <a:dk2>
        <a:srgbClr val="4D4646"/>
      </a:dk2>
      <a:lt2>
        <a:srgbClr val="FFFBEF"/>
      </a:lt2>
      <a:accent1>
        <a:srgbClr val="FFE184"/>
      </a:accent1>
      <a:accent2>
        <a:srgbClr val="66ADA6"/>
      </a:accent2>
      <a:accent3>
        <a:srgbClr val="83AC79"/>
      </a:accent3>
      <a:accent4>
        <a:srgbClr val="FEBF66"/>
      </a:accent4>
      <a:accent5>
        <a:srgbClr val="DB7057"/>
      </a:accent5>
      <a:accent6>
        <a:srgbClr val="A57389"/>
      </a:accent6>
      <a:hlink>
        <a:srgbClr val="66ADA6"/>
      </a:hlink>
      <a:folHlink>
        <a:srgbClr val="A57389"/>
      </a:folHlink>
    </a:clrScheme>
    <a:fontScheme name="Bathroom remodel cost calculator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autoPageBreaks="0" fitToPage="1"/>
  </sheetPr>
  <dimension ref="B1:K50"/>
  <sheetViews>
    <sheetView showGridLines="0" topLeftCell="A29" zoomScaleNormal="100" workbookViewId="0">
      <selection activeCell="G41" sqref="G41"/>
    </sheetView>
  </sheetViews>
  <sheetFormatPr defaultColWidth="9.140625" defaultRowHeight="30" customHeight="1" x14ac:dyDescent="0.25"/>
  <cols>
    <col min="1" max="1" width="2.7109375" style="2" customWidth="1"/>
    <col min="2" max="2" width="30" style="2" bestFit="1" customWidth="1"/>
    <col min="3" max="3" width="52.85546875" style="2" customWidth="1"/>
    <col min="4" max="4" width="18.85546875" style="2" customWidth="1"/>
    <col min="5" max="5" width="19.7109375" style="2" customWidth="1"/>
    <col min="6" max="7" width="15.7109375" style="2" customWidth="1"/>
    <col min="8" max="8" width="2.7109375" style="2" customWidth="1"/>
    <col min="9" max="10" width="9.140625" style="2"/>
    <col min="11" max="11" width="11.5703125" style="2" bestFit="1" customWidth="1"/>
    <col min="12" max="16384" width="9.140625" style="2"/>
  </cols>
  <sheetData>
    <row r="1" spans="2:11" ht="45.75" customHeight="1" thickBot="1" x14ac:dyDescent="0.45">
      <c r="B1" s="12"/>
      <c r="C1" s="1"/>
      <c r="D1" s="1"/>
      <c r="E1" s="1"/>
      <c r="F1"/>
      <c r="G1"/>
    </row>
    <row r="2" spans="2:11" ht="16.5" customHeight="1" thickTop="1" x14ac:dyDescent="0.25">
      <c r="B2" s="32"/>
      <c r="C2" s="32"/>
      <c r="D2" s="32"/>
      <c r="F2"/>
      <c r="G2"/>
    </row>
    <row r="3" spans="2:11" ht="30" customHeight="1" x14ac:dyDescent="0.25">
      <c r="B3" s="32"/>
      <c r="C3" s="32"/>
      <c r="D3" s="32"/>
    </row>
    <row r="4" spans="2:11" ht="30" customHeight="1" x14ac:dyDescent="0.25">
      <c r="B4" s="4" t="s">
        <v>1</v>
      </c>
      <c r="C4" s="5" t="s">
        <v>3</v>
      </c>
      <c r="D4" s="6" t="s">
        <v>14</v>
      </c>
      <c r="E4" s="7" t="s">
        <v>4</v>
      </c>
    </row>
    <row r="5" spans="2:11" ht="30" customHeight="1" x14ac:dyDescent="0.25">
      <c r="B5" t="s">
        <v>8</v>
      </c>
      <c r="C5" s="3">
        <v>4</v>
      </c>
      <c r="D5" s="9">
        <v>60</v>
      </c>
      <c r="E5" s="9">
        <f>Custos[[#This Row],[Quantidade]]*Custos[[#This Row],[Valor Unitario]]</f>
        <v>240</v>
      </c>
    </row>
    <row r="6" spans="2:11" ht="30" customHeight="1" x14ac:dyDescent="0.25">
      <c r="B6" t="s">
        <v>9</v>
      </c>
      <c r="C6" s="16"/>
      <c r="D6" s="9">
        <v>90</v>
      </c>
      <c r="E6" s="9">
        <f>Custos[[#This Row],[Quantidade]]*Custos[[#This Row],[Valor Unitario]]</f>
        <v>0</v>
      </c>
    </row>
    <row r="7" spans="2:11" ht="30" customHeight="1" x14ac:dyDescent="0.25">
      <c r="B7" t="s">
        <v>11</v>
      </c>
      <c r="C7" s="16"/>
      <c r="D7" s="9">
        <v>50</v>
      </c>
      <c r="E7" s="9">
        <f>Custos[[#This Row],[Quantidade]]*Custos[[#This Row],[Valor Unitario]]</f>
        <v>0</v>
      </c>
    </row>
    <row r="8" spans="2:11" ht="30" customHeight="1" x14ac:dyDescent="0.25">
      <c r="B8" t="s">
        <v>12</v>
      </c>
      <c r="C8" s="16"/>
      <c r="D8" s="9">
        <v>90</v>
      </c>
      <c r="E8" s="9">
        <f>Custos[[#This Row],[Quantidade]]*Custos[[#This Row],[Valor Unitario]]</f>
        <v>0</v>
      </c>
    </row>
    <row r="9" spans="2:11" ht="30" customHeight="1" x14ac:dyDescent="0.25">
      <c r="B9" t="s">
        <v>10</v>
      </c>
      <c r="C9" s="17">
        <v>10</v>
      </c>
      <c r="D9" s="9">
        <v>3</v>
      </c>
      <c r="E9" s="9">
        <f>Custos[[#This Row],[Quantidade]]*Custos[[#This Row],[Valor Unitario]]</f>
        <v>30</v>
      </c>
    </row>
    <row r="10" spans="2:11" ht="30" customHeight="1" x14ac:dyDescent="0.25">
      <c r="B10" t="s">
        <v>2</v>
      </c>
      <c r="C10" s="16"/>
      <c r="D10" s="9">
        <v>90</v>
      </c>
      <c r="E10" s="9">
        <f>Custos[[#This Row],[Quantidade]]*Custos[[#This Row],[Valor Unitario]]</f>
        <v>0</v>
      </c>
    </row>
    <row r="11" spans="2:11" ht="30" customHeight="1" x14ac:dyDescent="0.25">
      <c r="B11" t="s">
        <v>5</v>
      </c>
      <c r="C11" s="3"/>
      <c r="D11" s="9">
        <v>3000</v>
      </c>
      <c r="E11" s="9">
        <f>Custos[[#This Row],[Quantidade]]*Custos[[#This Row],[Valor Unitario]]</f>
        <v>0</v>
      </c>
      <c r="J11"/>
    </row>
    <row r="12" spans="2:11" ht="30" customHeight="1" x14ac:dyDescent="0.25">
      <c r="B12" t="s">
        <v>6</v>
      </c>
      <c r="C12" s="3"/>
      <c r="D12" s="9">
        <v>4500</v>
      </c>
      <c r="E12" s="9">
        <f>Custos[[#This Row],[Quantidade]]*Custos[[#This Row],[Valor Unitario]]</f>
        <v>0</v>
      </c>
      <c r="J12"/>
    </row>
    <row r="13" spans="2:11" ht="30" customHeight="1" x14ac:dyDescent="0.25">
      <c r="B13" t="s">
        <v>7</v>
      </c>
      <c r="C13" s="3"/>
      <c r="D13" s="9"/>
      <c r="E13" s="9">
        <f>Custos[[#This Row],[Quantidade]]*Custos[[#This Row],[Valor Unitario]]</f>
        <v>0</v>
      </c>
      <c r="J13"/>
    </row>
    <row r="14" spans="2:11" ht="30" customHeight="1" x14ac:dyDescent="0.25">
      <c r="B14" t="s">
        <v>13</v>
      </c>
      <c r="C14" s="3"/>
      <c r="D14" s="9">
        <v>50</v>
      </c>
      <c r="E14" s="9">
        <f>Custos[[#This Row],[Quantidade]]*Custos[[#This Row],[Valor Unitario]]</f>
        <v>0</v>
      </c>
      <c r="J14"/>
    </row>
    <row r="15" spans="2:11" ht="30" customHeight="1" x14ac:dyDescent="0.25">
      <c r="B15" t="s">
        <v>27</v>
      </c>
      <c r="C15" s="3"/>
      <c r="D15" s="9">
        <v>70</v>
      </c>
      <c r="E15" s="9">
        <f>Custos[[#This Row],[Quantidade]]*Custos[[#This Row],[Valor Unitario]]</f>
        <v>0</v>
      </c>
      <c r="J15"/>
    </row>
    <row r="16" spans="2:11" ht="30" customHeight="1" x14ac:dyDescent="0.25">
      <c r="B16" t="s">
        <v>16</v>
      </c>
      <c r="C16" s="3"/>
      <c r="D16" s="9">
        <v>60</v>
      </c>
      <c r="E16" s="9">
        <f>Custos[[#This Row],[Quantidade]]*Custos[[#This Row],[Valor Unitario]]</f>
        <v>0</v>
      </c>
      <c r="J16"/>
      <c r="K16"/>
    </row>
    <row r="17" spans="2:10" ht="30" customHeight="1" x14ac:dyDescent="0.25">
      <c r="B17" t="s">
        <v>16</v>
      </c>
      <c r="C17" s="3"/>
      <c r="D17" s="9"/>
      <c r="E17" s="9">
        <f>Custos[[#This Row],[Quantidade]]*Custos[[#This Row],[Valor Unitario]]</f>
        <v>0</v>
      </c>
      <c r="J17"/>
    </row>
    <row r="18" spans="2:10" ht="30" customHeight="1" x14ac:dyDescent="0.25">
      <c r="B18" t="s">
        <v>18</v>
      </c>
      <c r="C18" s="3"/>
      <c r="D18" s="9">
        <v>110</v>
      </c>
      <c r="E18" s="9">
        <f>Custos[[#This Row],[Quantidade]]*Custos[[#This Row],[Valor Unitario]]</f>
        <v>0</v>
      </c>
      <c r="J18"/>
    </row>
    <row r="19" spans="2:10" ht="30" customHeight="1" x14ac:dyDescent="0.25">
      <c r="B19" t="s">
        <v>19</v>
      </c>
      <c r="C19" s="3"/>
      <c r="D19" s="9">
        <v>70</v>
      </c>
      <c r="E19" s="9">
        <f>Custos[[#This Row],[Quantidade]]*Custos[[#This Row],[Valor Unitario]]</f>
        <v>0</v>
      </c>
    </row>
    <row r="20" spans="2:10" ht="30" customHeight="1" x14ac:dyDescent="0.25">
      <c r="B20" t="s">
        <v>28</v>
      </c>
      <c r="C20" s="16"/>
      <c r="D20" s="9">
        <v>30</v>
      </c>
      <c r="E20" s="9">
        <f>Custos[[#This Row],[Quantidade]]*Custos[[#This Row],[Valor Unitario]]</f>
        <v>0</v>
      </c>
    </row>
    <row r="21" spans="2:10" ht="30" customHeight="1" x14ac:dyDescent="0.25">
      <c r="B21" t="s">
        <v>20</v>
      </c>
      <c r="C21" s="3"/>
      <c r="D21" s="9">
        <v>80</v>
      </c>
      <c r="E21" s="9">
        <f>Custos[[#This Row],[Quantidade]]*Custos[[#This Row],[Valor Unitario]]</f>
        <v>0</v>
      </c>
    </row>
    <row r="22" spans="2:10" ht="30" hidden="1" customHeight="1" x14ac:dyDescent="0.25">
      <c r="C22" s="3"/>
      <c r="D22" s="9"/>
      <c r="E22" s="9">
        <f>Custos[[#This Row],[Quantidade]]*Custos[[#This Row],[Valor Unitario]]</f>
        <v>0</v>
      </c>
      <c r="F22" s="11"/>
      <c r="G22" s="10"/>
    </row>
    <row r="23" spans="2:10" ht="30" customHeight="1" x14ac:dyDescent="0.25">
      <c r="B23" t="s">
        <v>21</v>
      </c>
      <c r="C23" s="3"/>
      <c r="D23" s="9">
        <v>80</v>
      </c>
      <c r="E23" s="9">
        <f>Custos[[#This Row],[Quantidade]]*Custos[[#This Row],[Valor Unitario]]</f>
        <v>0</v>
      </c>
      <c r="F23"/>
      <c r="G23"/>
      <c r="H23"/>
    </row>
    <row r="24" spans="2:10" ht="30" customHeight="1" x14ac:dyDescent="0.25">
      <c r="B24" t="s">
        <v>22</v>
      </c>
      <c r="C24" s="3"/>
      <c r="D24" s="9">
        <v>30</v>
      </c>
      <c r="E24" s="9">
        <f>Custos[[#This Row],[Quantidade]]*Custos[[#This Row],[Valor Unitario]]</f>
        <v>0</v>
      </c>
      <c r="F24"/>
      <c r="G24"/>
      <c r="H24"/>
    </row>
    <row r="25" spans="2:10" ht="30" customHeight="1" x14ac:dyDescent="0.25">
      <c r="C25" s="3"/>
      <c r="D25" s="9"/>
      <c r="E25" s="9">
        <f>Custos[[#This Row],[Quantidade]]*Custos[[#This Row],[Valor Unitario]]</f>
        <v>0</v>
      </c>
    </row>
    <row r="26" spans="2:10" ht="30" customHeight="1" x14ac:dyDescent="0.25">
      <c r="C26" s="3"/>
      <c r="D26" s="9"/>
      <c r="E26" s="9">
        <f>Custos[[#This Row],[Quantidade]]*Custos[[#This Row],[Valor Unitario]]</f>
        <v>0</v>
      </c>
    </row>
    <row r="27" spans="2:10" ht="30" customHeight="1" x14ac:dyDescent="0.25">
      <c r="C27" s="3"/>
      <c r="D27" s="9"/>
      <c r="E27" s="9">
        <f>Custos[[#This Row],[Quantidade]]*Custos[[#This Row],[Valor Unitario]]</f>
        <v>0</v>
      </c>
    </row>
    <row r="28" spans="2:10" ht="30" customHeight="1" x14ac:dyDescent="0.25">
      <c r="C28" s="3"/>
      <c r="D28" s="9"/>
      <c r="E28" s="9">
        <f>Custos[[#This Row],[Quantidade]]*Custos[[#This Row],[Valor Unitario]]</f>
        <v>0</v>
      </c>
    </row>
    <row r="29" spans="2:10" ht="30" customHeight="1" x14ac:dyDescent="0.25">
      <c r="C29" s="3"/>
      <c r="D29" s="9"/>
      <c r="E29" s="9">
        <f>Custos[[#This Row],[Quantidade]]*Custos[[#This Row],[Valor Unitario]]</f>
        <v>0</v>
      </c>
    </row>
    <row r="30" spans="2:10" ht="30" customHeight="1" x14ac:dyDescent="0.25">
      <c r="C30" s="3"/>
      <c r="D30" s="9"/>
      <c r="E30" s="9">
        <f>Custos[[#This Row],[Quantidade]]*Custos[[#This Row],[Valor Unitario]]</f>
        <v>0</v>
      </c>
    </row>
    <row r="31" spans="2:10" ht="30" customHeight="1" x14ac:dyDescent="0.25">
      <c r="C31" s="3"/>
      <c r="D31" s="9"/>
      <c r="E31" s="9">
        <f>Custos[[#This Row],[Quantidade]]*Custos[[#This Row],[Valor Unitario]]</f>
        <v>0</v>
      </c>
    </row>
    <row r="32" spans="2:10" ht="30" customHeight="1" x14ac:dyDescent="0.25">
      <c r="C32" s="3"/>
      <c r="D32" s="9"/>
      <c r="E32" s="9">
        <f>Custos[[#This Row],[Quantidade]]*Custos[[#This Row],[Valor Unitario]]</f>
        <v>0</v>
      </c>
    </row>
    <row r="33" spans="2:6" ht="30" customHeight="1" x14ac:dyDescent="0.25">
      <c r="C33" s="3"/>
      <c r="D33" s="9"/>
      <c r="E33" s="9">
        <f>Custos[[#This Row],[Quantidade]]*Custos[[#This Row],[Valor Unitario]]</f>
        <v>0</v>
      </c>
    </row>
    <row r="34" spans="2:6" ht="30" customHeight="1" x14ac:dyDescent="0.25">
      <c r="C34" s="3"/>
      <c r="D34" s="9"/>
      <c r="E34" s="9">
        <f>Custos[[#This Row],[Quantidade]]*Custos[[#This Row],[Valor Unitario]]</f>
        <v>0</v>
      </c>
    </row>
    <row r="35" spans="2:6" ht="30" customHeight="1" x14ac:dyDescent="0.25">
      <c r="C35" s="3"/>
      <c r="D35" s="9"/>
      <c r="E35" s="9">
        <f>Custos[[#This Row],[Quantidade]]*Custos[[#This Row],[Valor Unitario]]</f>
        <v>0</v>
      </c>
    </row>
    <row r="36" spans="2:6" ht="30" customHeight="1" x14ac:dyDescent="0.25">
      <c r="C36" s="3"/>
      <c r="D36" s="9"/>
      <c r="E36" s="9">
        <f>Custos[[#This Row],[Quantidade]]*Custos[[#This Row],[Valor Unitario]]</f>
        <v>0</v>
      </c>
    </row>
    <row r="37" spans="2:6" ht="30" customHeight="1" x14ac:dyDescent="0.25">
      <c r="C37" s="3"/>
      <c r="D37" s="9"/>
      <c r="E37" s="9">
        <f>Custos[[#This Row],[Quantidade]]*Custos[[#This Row],[Valor Unitario]]</f>
        <v>0</v>
      </c>
    </row>
    <row r="38" spans="2:6" ht="30" customHeight="1" x14ac:dyDescent="0.25">
      <c r="C38" s="3"/>
      <c r="D38" s="9"/>
      <c r="E38" s="9">
        <f>Custos[[#This Row],[Quantidade]]*Custos[[#This Row],[Valor Unitario]]</f>
        <v>0</v>
      </c>
    </row>
    <row r="39" spans="2:6" ht="30" customHeight="1" x14ac:dyDescent="0.25">
      <c r="B39"/>
      <c r="C39" s="13"/>
      <c r="D39" s="14"/>
      <c r="E39" s="15">
        <f>SUM(Custos[Valor real])</f>
        <v>270</v>
      </c>
    </row>
    <row r="40" spans="2:6" ht="30" customHeight="1" x14ac:dyDescent="0.25">
      <c r="B40"/>
      <c r="D40" s="8"/>
      <c r="E40" s="11"/>
    </row>
    <row r="41" spans="2:6" ht="30" customHeight="1" x14ac:dyDescent="0.25">
      <c r="B41" s="18" t="s">
        <v>36</v>
      </c>
      <c r="C41" s="19"/>
      <c r="D41" s="20"/>
      <c r="E41" s="20">
        <v>-20</v>
      </c>
    </row>
    <row r="42" spans="2:6" ht="30" customHeight="1" x14ac:dyDescent="0.25">
      <c r="B42" s="18" t="s">
        <v>17</v>
      </c>
      <c r="C42" s="19"/>
      <c r="D42" s="20"/>
      <c r="E42" s="20">
        <f>Custos[[#Totals],[Valor real]]+E41</f>
        <v>250</v>
      </c>
    </row>
    <row r="43" spans="2:6" ht="30" customHeight="1" x14ac:dyDescent="0.25">
      <c r="E43" s="24"/>
      <c r="F43" s="24"/>
    </row>
    <row r="44" spans="2:6" ht="30" hidden="1" customHeight="1" x14ac:dyDescent="0.25">
      <c r="B44" s="31" t="s">
        <v>23</v>
      </c>
      <c r="C44" s="31"/>
      <c r="D44" s="31"/>
      <c r="E44" s="31"/>
    </row>
    <row r="45" spans="2:6" ht="30" hidden="1" customHeight="1" x14ac:dyDescent="0.25">
      <c r="B45" s="21" t="s">
        <v>0</v>
      </c>
      <c r="C45" s="22"/>
      <c r="D45" s="23"/>
      <c r="E45" s="23">
        <f>IFERROR(Custos[[#Totals],[Valor real]]*0.3, "")</f>
        <v>81</v>
      </c>
    </row>
    <row r="46" spans="2:6" ht="30" hidden="1" customHeight="1" x14ac:dyDescent="0.25">
      <c r="B46" s="21" t="s">
        <v>17</v>
      </c>
      <c r="C46" s="22"/>
      <c r="D46" s="23"/>
      <c r="E46" s="23">
        <f>Custos[[#Totals],[Valor real]]+E45</f>
        <v>351</v>
      </c>
    </row>
    <row r="48" spans="2:6" ht="30" customHeight="1" x14ac:dyDescent="0.25">
      <c r="B48"/>
      <c r="C48"/>
      <c r="D48"/>
      <c r="E48"/>
    </row>
    <row r="49" spans="2:5" ht="30" customHeight="1" x14ac:dyDescent="0.25">
      <c r="B49"/>
      <c r="C49"/>
      <c r="D49"/>
      <c r="E49"/>
    </row>
    <row r="50" spans="2:5" ht="30" customHeight="1" x14ac:dyDescent="0.25">
      <c r="B50"/>
      <c r="C50"/>
      <c r="D50"/>
      <c r="E50"/>
    </row>
  </sheetData>
  <mergeCells count="2">
    <mergeCell ref="B44:E44"/>
    <mergeCell ref="B2:D3"/>
  </mergeCells>
  <dataValidations count="10">
    <dataValidation allowBlank="1" showInputMessage="1" showErrorMessage="1" prompt="Insira os itens na coluna sob este cabeçalho." sqref="B4" xr:uid="{00000000-0002-0000-0000-000000000000}"/>
    <dataValidation allowBlank="1" showInputMessage="1" showErrorMessage="1" prompt="Insira a quantidade na coluna sob este cabeçalho" sqref="C4" xr:uid="{00000000-0002-0000-0000-000001000000}"/>
    <dataValidation allowBlank="1" showInputMessage="1" showErrorMessage="1" prompt="Insira o custo estimado na coluna sob este cabeçalho." sqref="D4" xr:uid="{00000000-0002-0000-0000-000002000000}"/>
    <dataValidation allowBlank="1" showInputMessage="1" showErrorMessage="1" prompt="Insira o custo real na coluna sob este cabeçalho." sqref="E4" xr:uid="{00000000-0002-0000-0000-000003000000}"/>
    <dataValidation allowBlank="1" showInputMessage="1" showErrorMessage="1" prompt="Crie uma calculadora de custos para a reforma do banheiro nesta planilha. O custo total estimado, o custo real, as diferenças de custos, os custos inesperados e os custos totais são calculados automaticamente." sqref="A1" xr:uid="{00000000-0002-0000-0000-000004000000}"/>
    <dataValidation allowBlank="1" showInputMessage="1" showErrorMessage="1" prompt="O título da planilha está nesta célula. Insira detalhes na tabela de custos, começando na célula B4. Os custos inesperados estimados e os custos totais são calculados automaticamente no final da tabela." sqref="B1" xr:uid="{00000000-0002-0000-0000-000005000000}"/>
    <dataValidation allowBlank="1" showInputMessage="1" showErrorMessage="1" prompt="Os custos inesperados são calculados automaticamente nas células à direita." sqref="B41:D41 B45:D45" xr:uid="{00000000-0002-0000-0000-000006000000}"/>
    <dataValidation allowBlank="1" showInputMessage="1" showErrorMessage="1" prompt="Os custos totais são calculados automaticamente nas células à direita." sqref="B42:D42 B46:D46" xr:uid="{00000000-0002-0000-0000-000007000000}"/>
    <dataValidation allowBlank="1" showInputMessage="1" showErrorMessage="1" prompt="O custo discriminado total estimado com os custos inesperados é calculado automaticamente nesta célula." sqref="E42 E46" xr:uid="{00000000-0002-0000-0000-000008000000}"/>
    <dataValidation allowBlank="1" showInputMessage="1" showErrorMessage="1" prompt="O custo inesperado do subtotal do custo discriminado estimado é calculado automaticamente nesta célula." sqref="E41 E45" xr:uid="{00000000-0002-0000-0000-000009000000}"/>
  </dataValidations>
  <printOptions horizontalCentered="1"/>
  <pageMargins left="0.4" right="0.4" top="0.4" bottom="0.4" header="0.3" footer="0.3"/>
  <pageSetup paperSize="9" scale="69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autoPageBreaks="0"/>
  </sheetPr>
  <dimension ref="C2:K15"/>
  <sheetViews>
    <sheetView showGridLines="0" tabSelected="1" zoomScaleNormal="100" workbookViewId="0">
      <selection activeCell="C1" sqref="C1:D15"/>
    </sheetView>
  </sheetViews>
  <sheetFormatPr defaultColWidth="9.140625" defaultRowHeight="30" customHeight="1" x14ac:dyDescent="0.25"/>
  <cols>
    <col min="1" max="1" width="5.42578125" customWidth="1"/>
    <col min="2" max="2" width="4.7109375" customWidth="1"/>
    <col min="3" max="3" width="47" customWidth="1"/>
    <col min="4" max="4" width="20.85546875" customWidth="1"/>
    <col min="6" max="6" width="11.140625" bestFit="1" customWidth="1"/>
    <col min="9" max="9" width="38.28515625" customWidth="1"/>
    <col min="10" max="10" width="29.7109375" customWidth="1"/>
  </cols>
  <sheetData>
    <row r="2" spans="3:11" s="2" customFormat="1" ht="15" x14ac:dyDescent="0.25">
      <c r="C2"/>
      <c r="D2"/>
    </row>
    <row r="3" spans="3:11" s="2" customFormat="1" ht="16.5" customHeight="1" x14ac:dyDescent="0.25">
      <c r="C3"/>
      <c r="D3"/>
    </row>
    <row r="4" spans="3:11" s="2" customFormat="1" ht="16.5" customHeight="1" x14ac:dyDescent="0.25">
      <c r="C4"/>
      <c r="D4"/>
    </row>
    <row r="5" spans="3:11" s="2" customFormat="1" ht="16.5" customHeight="1" x14ac:dyDescent="0.25">
      <c r="C5"/>
      <c r="D5"/>
    </row>
    <row r="6" spans="3:11" s="2" customFormat="1" ht="16.5" customHeight="1" x14ac:dyDescent="0.25">
      <c r="C6"/>
      <c r="D6"/>
    </row>
    <row r="7" spans="3:11" s="2" customFormat="1" ht="16.5" customHeight="1" x14ac:dyDescent="0.25">
      <c r="C7"/>
      <c r="D7"/>
    </row>
    <row r="8" spans="3:11" s="2" customFormat="1" ht="16.5" customHeight="1" x14ac:dyDescent="0.25">
      <c r="C8"/>
      <c r="D8"/>
    </row>
    <row r="9" spans="3:11" s="2" customFormat="1" ht="16.5" customHeight="1" x14ac:dyDescent="0.25">
      <c r="C9"/>
      <c r="D9"/>
    </row>
    <row r="10" spans="3:11" s="2" customFormat="1" ht="16.5" customHeight="1" x14ac:dyDescent="0.25">
      <c r="C10"/>
      <c r="D10"/>
    </row>
    <row r="11" spans="3:11" s="2" customFormat="1" ht="30" customHeight="1" x14ac:dyDescent="0.45">
      <c r="C11" s="33" t="s">
        <v>15</v>
      </c>
      <c r="D11" s="34"/>
      <c r="K11"/>
    </row>
    <row r="12" spans="3:11" s="2" customFormat="1" ht="30" customHeight="1" x14ac:dyDescent="0.25">
      <c r="C12" s="35" t="s">
        <v>24</v>
      </c>
      <c r="D12" s="36"/>
      <c r="G12"/>
      <c r="H12"/>
      <c r="K12"/>
    </row>
    <row r="13" spans="3:11" s="2" customFormat="1" ht="30" customHeight="1" x14ac:dyDescent="0.25">
      <c r="C13" s="37" t="s">
        <v>35</v>
      </c>
      <c r="D13" s="38"/>
      <c r="G13"/>
      <c r="H13"/>
      <c r="K13"/>
    </row>
    <row r="14" spans="3:11" s="2" customFormat="1" ht="30" customHeight="1" x14ac:dyDescent="0.35">
      <c r="C14" s="25" t="s">
        <v>17</v>
      </c>
      <c r="D14" s="26">
        <f>'Base de calculo para orçamento'!E42</f>
        <v>250</v>
      </c>
      <c r="F14" s="24"/>
      <c r="G14"/>
      <c r="H14"/>
      <c r="K14"/>
    </row>
    <row r="15" spans="3:11" ht="30" customHeight="1" x14ac:dyDescent="0.25">
      <c r="C15" s="39" t="s">
        <v>41</v>
      </c>
      <c r="D15" s="40"/>
    </row>
  </sheetData>
  <mergeCells count="4">
    <mergeCell ref="C15:D15"/>
    <mergeCell ref="C11:D11"/>
    <mergeCell ref="C12:D12"/>
    <mergeCell ref="C13:D13"/>
  </mergeCells>
  <dataValidations xWindow="259" yWindow="237" count="2">
    <dataValidation allowBlank="1" showInputMessage="1" showErrorMessage="1" prompt="O custo discriminado total estimado com os custos inesperados é calculado automaticamente nesta célula." sqref="D14" xr:uid="{00000000-0002-0000-0100-000001000000}"/>
    <dataValidation allowBlank="1" showInputMessage="1" showErrorMessage="1" prompt="Os custos totais são calculados automaticamente nas células à direita." sqref="C14" xr:uid="{00000000-0002-0000-0100-000002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135" fitToWidth="0" orientation="portrait" r:id="rId1"/>
  <headerFooter differentFirst="1"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1FDA-1F8A-4EE0-865D-9AE950DBF5ED}">
  <dimension ref="B16:C40"/>
  <sheetViews>
    <sheetView topLeftCell="A13" workbookViewId="0">
      <selection activeCell="G28" sqref="G28"/>
    </sheetView>
  </sheetViews>
  <sheetFormatPr defaultRowHeight="15" x14ac:dyDescent="0.25"/>
  <cols>
    <col min="1" max="1" width="9.140625" style="27"/>
    <col min="2" max="2" width="48.7109375" style="27" customWidth="1"/>
    <col min="3" max="3" width="22.5703125" style="27" bestFit="1" customWidth="1"/>
    <col min="4" max="4" width="12.5703125" style="27" customWidth="1"/>
    <col min="5" max="16384" width="9.140625" style="27"/>
  </cols>
  <sheetData>
    <row r="16" spans="2:3" ht="30" customHeight="1" x14ac:dyDescent="0.35">
      <c r="B16" s="29" t="s">
        <v>25</v>
      </c>
      <c r="C16" s="29" t="s">
        <v>26</v>
      </c>
    </row>
    <row r="17" spans="2:3" ht="21" x14ac:dyDescent="0.35">
      <c r="B17" s="28" t="s">
        <v>29</v>
      </c>
      <c r="C17" s="30">
        <v>3</v>
      </c>
    </row>
    <row r="18" spans="2:3" ht="21" x14ac:dyDescent="0.35">
      <c r="B18" s="28" t="s">
        <v>40</v>
      </c>
      <c r="C18" s="30">
        <v>1</v>
      </c>
    </row>
    <row r="19" spans="2:3" ht="42" x14ac:dyDescent="0.35">
      <c r="B19" s="28" t="s">
        <v>30</v>
      </c>
      <c r="C19" s="30">
        <v>1</v>
      </c>
    </row>
    <row r="20" spans="2:3" ht="21" x14ac:dyDescent="0.35">
      <c r="B20" s="28" t="s">
        <v>37</v>
      </c>
      <c r="C20" s="30" t="s">
        <v>31</v>
      </c>
    </row>
    <row r="21" spans="2:3" ht="21" x14ac:dyDescent="0.35">
      <c r="B21" s="28" t="s">
        <v>39</v>
      </c>
      <c r="C21" s="30" t="s">
        <v>31</v>
      </c>
    </row>
    <row r="22" spans="2:3" ht="21" x14ac:dyDescent="0.35">
      <c r="B22" s="28" t="s">
        <v>38</v>
      </c>
      <c r="C22" s="30" t="s">
        <v>31</v>
      </c>
    </row>
    <row r="23" spans="2:3" ht="42" x14ac:dyDescent="0.35">
      <c r="B23" s="28" t="s">
        <v>32</v>
      </c>
      <c r="C23" s="30">
        <v>1</v>
      </c>
    </row>
    <row r="24" spans="2:3" ht="42" x14ac:dyDescent="0.35">
      <c r="B24" s="28" t="s">
        <v>33</v>
      </c>
      <c r="C24" s="30">
        <v>1</v>
      </c>
    </row>
    <row r="25" spans="2:3" ht="21" x14ac:dyDescent="0.35">
      <c r="B25" s="28" t="s">
        <v>34</v>
      </c>
      <c r="C25" s="30">
        <v>1</v>
      </c>
    </row>
    <row r="26" spans="2:3" ht="21" x14ac:dyDescent="0.35">
      <c r="B26" s="28"/>
      <c r="C26" s="30"/>
    </row>
    <row r="27" spans="2:3" ht="21" x14ac:dyDescent="0.35">
      <c r="B27" s="28"/>
      <c r="C27" s="30"/>
    </row>
    <row r="28" spans="2:3" ht="21" x14ac:dyDescent="0.35">
      <c r="B28" s="28"/>
      <c r="C28" s="30"/>
    </row>
    <row r="29" spans="2:3" ht="21" x14ac:dyDescent="0.35">
      <c r="B29" s="28"/>
      <c r="C29" s="30"/>
    </row>
    <row r="30" spans="2:3" ht="21" x14ac:dyDescent="0.35">
      <c r="B30" s="28"/>
      <c r="C30" s="30"/>
    </row>
    <row r="31" spans="2:3" ht="21" x14ac:dyDescent="0.35">
      <c r="B31" s="28"/>
      <c r="C31" s="30"/>
    </row>
    <row r="32" spans="2:3" ht="21" x14ac:dyDescent="0.35">
      <c r="B32" s="28"/>
      <c r="C32" s="30"/>
    </row>
    <row r="33" spans="2:3" ht="21" x14ac:dyDescent="0.35">
      <c r="B33" s="28"/>
      <c r="C33" s="30"/>
    </row>
    <row r="34" spans="2:3" ht="21" x14ac:dyDescent="0.35">
      <c r="B34" s="28"/>
      <c r="C34" s="30"/>
    </row>
    <row r="35" spans="2:3" ht="21" x14ac:dyDescent="0.35">
      <c r="B35" s="28"/>
      <c r="C35" s="30"/>
    </row>
    <row r="36" spans="2:3" ht="21" x14ac:dyDescent="0.35">
      <c r="B36" s="28"/>
      <c r="C36" s="30"/>
    </row>
    <row r="37" spans="2:3" ht="21" x14ac:dyDescent="0.35">
      <c r="B37" s="28"/>
      <c r="C37" s="30"/>
    </row>
    <row r="38" spans="2:3" ht="21" x14ac:dyDescent="0.35">
      <c r="B38" s="28"/>
      <c r="C38" s="30"/>
    </row>
    <row r="39" spans="2:3" ht="21" x14ac:dyDescent="0.35">
      <c r="B39" s="28"/>
      <c r="C39" s="30"/>
    </row>
    <row r="40" spans="2:3" ht="21" x14ac:dyDescent="0.35">
      <c r="B40" s="28"/>
      <c r="C40" s="30"/>
    </row>
  </sheetData>
  <dataValidations xWindow="510" yWindow="521" count="2">
    <dataValidation allowBlank="1" showInputMessage="1" showErrorMessage="1" prompt="Os custos totais são calculados automaticamente nas células à direita." sqref="C58:C61 B29:B40 B17:B27" xr:uid="{00000000-0002-0000-0100-000002000000}"/>
    <dataValidation allowBlank="1" showInputMessage="1" showErrorMessage="1" prompt="O custo discriminado total estimado com os custos inesperados é calculado automaticamente nesta célula." sqref="C17:C18 C29:C40 C20:C27" xr:uid="{00000000-0002-0000-0100-000001000000}"/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A99CB-99E5-49FD-82F9-292A21F34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94C1ED-25DF-4B8A-B97E-D4B8A86A026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D7C3E954-995B-4056-B2AD-CB51491F34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TM03986880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Base de calculo para orçamento</vt:lpstr>
      <vt:lpstr>Orcamento para envio</vt:lpstr>
      <vt:lpstr>lista de materiais</vt:lpstr>
      <vt:lpstr>'Base de calculo para orçamento'!Titulos_de_impressao</vt:lpstr>
      <vt:lpstr>'Orcamento para envio'!Titulos_de_impressao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2022-02-14T04:51:02Z</dcterms:created>
  <dcterms:modified xsi:type="dcterms:W3CDTF">2024-10-25T22:44:55Z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